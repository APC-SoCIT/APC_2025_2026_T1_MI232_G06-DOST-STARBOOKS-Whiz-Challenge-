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AF672A4-68BB-4CD2-9BC2-462602B81CFE}" xr6:coauthVersionLast="47" xr6:coauthVersionMax="47" xr10:uidLastSave="{00000000-0000-0000-0000-000000000000}"/>
  <bookViews>
    <workbookView xWindow="-120" yWindow="-120" windowWidth="24240" windowHeight="13140" xr2:uid="{5575397E-DEC5-450A-B7E3-C057B6B725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<sst xmlns="http://schemas.openxmlformats.org/spreadsheetml/2006/main" count="115" uniqueCount="94">
  <si>
    <t xml:space="preserve">Project Risk Register
DOST: STARBOOKS Whiz Challenge
</t>
  </si>
  <si>
    <t>Risk Identification</t>
  </si>
  <si>
    <t>Qualitative Rating</t>
  </si>
  <si>
    <t>Risk Response</t>
  </si>
  <si>
    <t>ID</t>
  </si>
  <si>
    <t>Risk</t>
  </si>
  <si>
    <t>Risk Category</t>
  </si>
  <si>
    <t>Probability</t>
  </si>
  <si>
    <t>Impact</t>
  </si>
  <si>
    <t>Risk Score</t>
  </si>
  <si>
    <t>Risk Ranking</t>
  </si>
  <si>
    <t>Trigger</t>
  </si>
  <si>
    <t>Risk Owner</t>
  </si>
  <si>
    <t>R01</t>
  </si>
  <si>
    <t>Scope creep from continuous DOST-STII feature additions during sprint reviews</t>
  </si>
  <si>
    <t>Scope</t>
  </si>
  <si>
    <t>Avoid/Mitigate — Enforce the formal Change Request process for all out-of-baseline feature requests; communicate feature priorities at sprint review opening; document all new requests in OpenProject before any evaluation begins</t>
  </si>
  <si>
    <t>Any new feature request from DOST-STII not present in the approved WBS baseline</t>
  </si>
  <si>
    <t>Kelly Dumbrique (Project Manager / Product Owner)</t>
  </si>
  <si>
    <t>R05</t>
  </si>
  <si>
    <t>Docker and LAN deployment failure on DOST kiosk hardware</t>
  </si>
  <si>
    <t>Technical</t>
  </si>
  <si>
    <t>Mitigate — Schedule full end-to-end deployment rehearsal on DOST hardware at least three weeks before deployment date; maintain Laragon as a tested fallback stack; document both deployment procedures for DOST-STII staff</t>
  </si>
  <si>
    <t>Any compatibility error or Docker Engine failure observed during pre-deployment rehearsal on kiosk hardware</t>
  </si>
  <si>
    <t>Arcielle Marie Gercan (Lead Developer)</t>
  </si>
  <si>
    <t>R10</t>
  </si>
  <si>
    <t>2026 deployment deadline not met due to accumulated schedule delays</t>
  </si>
  <si>
    <t>Schedule</t>
  </si>
  <si>
    <t>Mitigate — Monitor SPI at every sprint boundary; activate corrective action if SPI drops below 0.9; scope reduction of lower-priority admin features is the primary schedule recovery lever</t>
  </si>
  <si>
    <t>SPI drops below 0.9 at any sprint boundary, or cumulative sprint velocity falls more than 15% below baseline for two consecutive sprints</t>
  </si>
  <si>
    <t>R02</t>
  </si>
  <si>
    <t>Team burnout from concurrent academic workload and client demands</t>
  </si>
  <si>
    <t>Resource</t>
  </si>
  <si>
    <t>Mitigate — Enforce the 10-hour/week allocation limit; redistribute tasks if one member is overloaded; escalate to Faculty Adviser if workload becomes unsustainable</t>
  </si>
  <si>
    <t>A team member logs more than 15 hours in a single week or raises fatigue concerns during the daily standup</t>
  </si>
  <si>
    <t>R03</t>
  </si>
  <si>
    <t>WebSocket real-time synchronization failure in Whiz Battle mode</t>
  </si>
  <si>
    <t>Mitigate — Conduct dedicated WebSocket integration testing on LAN hardware; implement graceful error handling and reconnection logic; maintain a simplified polling-based fallback if WebSocket is unavailable</t>
  </si>
  <si>
    <t>WebSocket connection drops or questions appear out of sync between two players during Whiz Battle testing</t>
  </si>
  <si>
    <t>R04</t>
  </si>
  <si>
    <t>Delayed or insufficient provision of quiz content by DOST-STII</t>
  </si>
  <si>
    <t>External</t>
  </si>
  <si>
    <t>Mitigate — Request initial content batch at least four weeks before the content integration sprint; use placeholder content for development; escalate to Project Sponsor if content is not delivered by the agreed milestone</t>
  </si>
  <si>
    <t>Content not received by the agreed handoff date or delivered in an unusable or incomplete format</t>
  </si>
  <si>
    <t>R07</t>
  </si>
  <si>
    <t>Sprint velocity degradation from high volume of code errors</t>
  </si>
  <si>
    <t>Quality</t>
  </si>
  <si>
    <t>Mitigate — Implement mandatory code review before merging to the main branch; allocate dedicated bug-fix buffer time in each sprint plan; enforce GitHub branch protection rules</t>
  </si>
  <si>
    <t>More than three unresolved bugs reported in a single sprint, or Sprint Status Report flags SPI below 0.9</t>
  </si>
  <si>
    <t>Shandrae Lois Quianzon (Developer / QA Tester)</t>
  </si>
  <si>
    <t>R06</t>
  </si>
  <si>
    <t>MongoDB data loss or corruption during DOST events</t>
  </si>
  <si>
    <t>Mitigate — Implement and document daily database backup procedures for DOST-STII staff; include backup and restore instructions in the user manual; perform mandatory pre-event backup as a checklist item</t>
  </si>
  <si>
    <t>Database error, unexpected server shutdown, or hardware failure during an active event session</t>
  </si>
  <si>
    <t>R08</t>
  </si>
  <si>
    <t>Key team member unavailability mid-sprint due to academic obligations</t>
  </si>
  <si>
    <t>Accept/Mitigate — Cross-train team members on each other's primary work packages; document all active tasks in OpenProject so any member can continue another's work; communicate absences at least 48 hours in advance</t>
  </si>
  <si>
    <t>A team member announces unavailability with less than 48 hours notice during an active sprint</t>
  </si>
  <si>
    <t>R09</t>
  </si>
  <si>
    <t>DOST-STII kiosk hardware specifications below system minimum requirements</t>
  </si>
  <si>
    <t>Mitigate — Validate hardware specifications against SRS minimum requirements (Intel Core i3, 4GB RAM, 50GB storage) during pre-deployment rehearsal; optimize application for lower-spec hardware if needed</t>
  </si>
  <si>
    <t>Hardware spec sheet from DOST-STII confirms processor, RAM, or storage below SRS-defined minimum thresholds</t>
  </si>
  <si>
    <t>R11</t>
  </si>
  <si>
    <t>Flutter web application performance degradation under 15 concurrent users</t>
  </si>
  <si>
    <t>Mitigate — Conduct load testing simulating 15 concurrent users before deployment; optimize API queries and implement connection pooling; validate against performance requirements PR-011 and PR-012 in the SRS</t>
  </si>
  <si>
    <t>Response time exceeds SRS thresholds during internal load testing with simulated concurrent sessions</t>
  </si>
  <si>
    <t>R12</t>
  </si>
  <si>
    <t>Unclear or continuously changing requirements from DOST-STII</t>
  </si>
  <si>
    <t>Mitigate — Document all requirements in the SRS and obtain DOST-STII review sign-off before development begins; treat all post-baseline requirement changes as formal change requests; revisit scope at each sprint review</t>
  </si>
  <si>
    <t>DOST-STII requests modification to a feature already developed and accepted in a prior sprint review</t>
  </si>
  <si>
    <t>R13</t>
  </si>
  <si>
    <t>Data privacy non-compliance with Philippine Data Privacy Act (RA 10173)</t>
  </si>
  <si>
    <t>Avoid — Embed all RA 10173 compliance requirements directly into the SRS and system design; implement password hashing, minimal data collection, privacy notice during registration, and role-based access control as non-negotiable system requirements</t>
  </si>
  <si>
    <t>Security review identifies personal data stored without cryptographic hashing, consent acknowledgment, or appropriate access controls</t>
  </si>
  <si>
    <t>R15</t>
  </si>
  <si>
    <t>Faculty Adviser or DOST-STII unavailability for scheduled sprint reviews</t>
  </si>
  <si>
    <t>Accept — Build buffer into the sprint review schedule; confirm meeting availability at least three days in advance; conduct asynchronous feedback collection via email if in-person review must be postponed</t>
  </si>
  <si>
    <t>Review meeting not confirmed 48 hours before the scheduled date</t>
  </si>
  <si>
    <t>R14</t>
  </si>
  <si>
    <t>Loss of OpenProject data or project tracking system failure</t>
  </si>
  <si>
    <t>Accept — Export OpenProject data regularly to SharePoint as a backup; maintain Sprint Status Reports and WBS documentation independently as offline records</t>
  </si>
  <si>
    <t>OpenProject becomes inaccessible for more than one full working day</t>
  </si>
  <si>
    <t>Janice Maxene Salipande (Scrum Master)</t>
  </si>
  <si>
    <t>Key Terms</t>
  </si>
  <si>
    <r>
      <t>Risk:</t>
    </r>
    <r>
      <rPr>
        <sz val="10"/>
        <rFont val="Calibri"/>
        <family val="2"/>
      </rPr>
      <t xml:space="preserve"> The risk stated in a complete sentence which states the cause of the risk, the risk, and the effect that the risk causes to the project.</t>
    </r>
  </si>
  <si>
    <r>
      <t>Risk Category:</t>
    </r>
    <r>
      <rPr>
        <sz val="10"/>
        <rFont val="Calibri"/>
        <family val="2"/>
      </rPr>
      <t xml:space="preserve">  Categorization of risks by area of project affected, source of risk or other useful category.</t>
    </r>
  </si>
  <si>
    <r>
      <t>Probability:</t>
    </r>
    <r>
      <rPr>
        <sz val="10"/>
        <rFont val="Calibri"/>
        <family val="2"/>
      </rPr>
      <t xml:space="preserve">  The likelihood that a risk or opportunity will occur (on a scale from 0 to 10 with 10 being the highest).</t>
    </r>
  </si>
  <si>
    <r>
      <t xml:space="preserve">Impact: </t>
    </r>
    <r>
      <rPr>
        <sz val="10"/>
        <rFont val="Calibri"/>
        <family val="2"/>
      </rPr>
      <t xml:space="preserve"> The impact of the risk on the project if the risk occurs (scale from 0 to 10 with 10 being the highest).</t>
    </r>
  </si>
  <si>
    <r>
      <t xml:space="preserve">Risk Score: </t>
    </r>
    <r>
      <rPr>
        <sz val="10"/>
        <rFont val="Calibri"/>
        <family val="2"/>
      </rPr>
      <t xml:space="preserve"> Determined by multiplying probability and impact (scale from 0 to 100).</t>
    </r>
  </si>
  <si>
    <r>
      <t xml:space="preserve">Risk Ranking: </t>
    </r>
    <r>
      <rPr>
        <sz val="10"/>
        <rFont val="Calibri"/>
        <family val="2"/>
      </rPr>
      <t xml:space="preserve"> A priority list which is determined by the relative ranking of the risks (by their scores) within the project with the number one being the highest risk score.</t>
    </r>
  </si>
  <si>
    <r>
      <t xml:space="preserve">Risk Response: </t>
    </r>
    <r>
      <rPr>
        <sz val="10"/>
        <rFont val="Calibri"/>
        <family val="2"/>
      </rPr>
      <t xml:space="preserve"> The action which is to be taken if this risk occurs.</t>
    </r>
  </si>
  <si>
    <r>
      <t>Trigger:</t>
    </r>
    <r>
      <rPr>
        <sz val="10"/>
        <rFont val="Calibri"/>
        <family val="2"/>
      </rPr>
      <t xml:space="preserve"> Something which indicates that a risk is about to occur or has already occured.</t>
    </r>
  </si>
  <si>
    <r>
      <t xml:space="preserve">Risk Owner: </t>
    </r>
    <r>
      <rPr>
        <sz val="10"/>
        <rFont val="Calibri"/>
        <family val="2"/>
      </rPr>
      <t>The person who the project manager assigns to watch for triggers, and manage the risk response if the risk occurs.</t>
    </r>
  </si>
  <si>
    <t>This Risk Register Template is brought to you by www.projectmanagementdocs.com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</si>
</sst>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9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7" fillId="3" borderId="8" xfId="0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3" borderId="10" xfId="0" applyFont="1" applyFill="1" applyBorder="1" applyAlignment="1">
      <alignment wrapText="1"/>
    </xf>
    <xf numFmtId="0" fontId="7" fillId="3" borderId="11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12" xfId="0" applyFont="1" applyBorder="1"/>
    <xf numFmtId="0" fontId="7" fillId="0" borderId="13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3" xfId="0" applyFont="1" applyBorder="1"/>
    <xf numFmtId="0" fontId="7" fillId="0" borderId="4" xfId="0" applyFont="1" applyBorder="1"/>
    <xf numFmtId="0" fontId="7" fillId="0" borderId="14" xfId="0" applyFont="1" applyBorder="1"/>
    <xf numFmtId="0" fontId="7" fillId="0" borderId="15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249D-6785-4E65-8090-6BD0093F263A}">
  <dimension ref="B1:K34"/>
  <sheetViews>
    <sheetView tabSelected="1" topLeftCell="A14" zoomScale="85" zoomScaleNormal="85" workbookViewId="0">
      <selection activeCell="J29" sqref="J29"/>
    </sheetView>
  </sheetViews>
  <sheetFormatPr defaultColWidth="8.85546875" defaultRowHeight="15"/>
  <cols>
    <col min="2" max="2" width="12.85546875" customWidth="1"/>
    <col min="3" max="3" width="61.85546875" customWidth="1"/>
    <col min="4" max="4" width="24.28515625" customWidth="1"/>
    <col min="5" max="8" width="10.7109375" customWidth="1"/>
    <col min="9" max="9" width="49.140625" customWidth="1"/>
    <col min="10" max="10" width="35" customWidth="1"/>
    <col min="11" max="11" width="16.42578125" customWidth="1"/>
  </cols>
  <sheetData>
    <row r="1" spans="2:11" ht="67.5" customHeight="1"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</row>
    <row r="2" spans="2:11">
      <c r="B2" s="25" t="s">
        <v>1</v>
      </c>
      <c r="C2" s="25"/>
      <c r="D2" s="26"/>
      <c r="E2" s="27" t="s">
        <v>2</v>
      </c>
      <c r="F2" s="28"/>
      <c r="G2" s="28"/>
      <c r="H2" s="29"/>
      <c r="I2" s="27" t="s">
        <v>3</v>
      </c>
      <c r="J2" s="28"/>
      <c r="K2" s="29"/>
    </row>
    <row r="3" spans="2:11" ht="28.5">
      <c r="B3" s="9" t="s">
        <v>4</v>
      </c>
      <c r="C3" s="9" t="s">
        <v>5</v>
      </c>
      <c r="D3" s="1" t="s">
        <v>6</v>
      </c>
      <c r="E3" s="10" t="s">
        <v>7</v>
      </c>
      <c r="F3" s="11" t="s">
        <v>8</v>
      </c>
      <c r="G3" s="2" t="s">
        <v>9</v>
      </c>
      <c r="H3" s="2" t="s">
        <v>10</v>
      </c>
      <c r="I3" s="12" t="s">
        <v>3</v>
      </c>
      <c r="J3" s="13" t="s">
        <v>11</v>
      </c>
      <c r="K3" s="14" t="s">
        <v>12</v>
      </c>
    </row>
    <row r="4" spans="2:11" ht="72">
      <c r="B4" s="15" t="s">
        <v>13</v>
      </c>
      <c r="C4" s="16" t="s">
        <v>14</v>
      </c>
      <c r="D4" s="17" t="s">
        <v>15</v>
      </c>
      <c r="E4" s="18">
        <v>8</v>
      </c>
      <c r="F4" s="19">
        <v>8</v>
      </c>
      <c r="G4" s="19">
        <f t="shared" ref="G4:G18" si="0">E4*F4</f>
        <v>64</v>
      </c>
      <c r="H4" s="20">
        <v>1</v>
      </c>
      <c r="I4" s="21" t="s">
        <v>16</v>
      </c>
      <c r="J4" s="22" t="s">
        <v>17</v>
      </c>
      <c r="K4" s="17" t="s">
        <v>18</v>
      </c>
    </row>
    <row r="5" spans="2:11" ht="72">
      <c r="B5" s="15" t="s">
        <v>19</v>
      </c>
      <c r="C5" s="16" t="s">
        <v>20</v>
      </c>
      <c r="D5" s="17" t="s">
        <v>21</v>
      </c>
      <c r="E5" s="18">
        <v>6</v>
      </c>
      <c r="F5" s="19">
        <v>9</v>
      </c>
      <c r="G5" s="19">
        <f t="shared" si="0"/>
        <v>54</v>
      </c>
      <c r="H5" s="20">
        <v>2</v>
      </c>
      <c r="I5" s="21" t="s">
        <v>22</v>
      </c>
      <c r="J5" s="22" t="s">
        <v>23</v>
      </c>
      <c r="K5" s="17" t="s">
        <v>24</v>
      </c>
    </row>
    <row r="6" spans="2:11" ht="72">
      <c r="B6" s="15" t="s">
        <v>25</v>
      </c>
      <c r="C6" s="16" t="s">
        <v>26</v>
      </c>
      <c r="D6" s="17" t="s">
        <v>27</v>
      </c>
      <c r="E6" s="18">
        <v>6</v>
      </c>
      <c r="F6" s="19">
        <v>9</v>
      </c>
      <c r="G6" s="19">
        <f t="shared" si="0"/>
        <v>54</v>
      </c>
      <c r="H6" s="20">
        <v>3</v>
      </c>
      <c r="I6" s="21" t="s">
        <v>28</v>
      </c>
      <c r="J6" s="22" t="s">
        <v>29</v>
      </c>
      <c r="K6" s="17" t="s">
        <v>18</v>
      </c>
    </row>
    <row r="7" spans="2:11" ht="72">
      <c r="B7" s="15" t="s">
        <v>30</v>
      </c>
      <c r="C7" s="16" t="s">
        <v>31</v>
      </c>
      <c r="D7" s="17" t="s">
        <v>32</v>
      </c>
      <c r="E7" s="18">
        <v>8</v>
      </c>
      <c r="F7" s="19">
        <v>6</v>
      </c>
      <c r="G7" s="19">
        <f t="shared" si="0"/>
        <v>48</v>
      </c>
      <c r="H7" s="20">
        <v>4</v>
      </c>
      <c r="I7" s="21" t="s">
        <v>33</v>
      </c>
      <c r="J7" s="22" t="s">
        <v>34</v>
      </c>
      <c r="K7" s="17" t="s">
        <v>18</v>
      </c>
    </row>
    <row r="8" spans="2:11" ht="72">
      <c r="B8" s="15" t="s">
        <v>35</v>
      </c>
      <c r="C8" s="16" t="s">
        <v>36</v>
      </c>
      <c r="D8" s="17" t="s">
        <v>21</v>
      </c>
      <c r="E8" s="18">
        <v>6</v>
      </c>
      <c r="F8" s="19">
        <v>8</v>
      </c>
      <c r="G8" s="19">
        <f t="shared" si="0"/>
        <v>48</v>
      </c>
      <c r="H8" s="20">
        <v>5</v>
      </c>
      <c r="I8" s="21" t="s">
        <v>37</v>
      </c>
      <c r="J8" s="22" t="s">
        <v>38</v>
      </c>
      <c r="K8" s="17" t="s">
        <v>24</v>
      </c>
    </row>
    <row r="9" spans="2:11" ht="72">
      <c r="B9" s="15" t="s">
        <v>39</v>
      </c>
      <c r="C9" s="16" t="s">
        <v>40</v>
      </c>
      <c r="D9" s="17" t="s">
        <v>41</v>
      </c>
      <c r="E9" s="18">
        <v>6</v>
      </c>
      <c r="F9" s="19">
        <v>8</v>
      </c>
      <c r="G9" s="19">
        <f t="shared" si="0"/>
        <v>48</v>
      </c>
      <c r="H9" s="20">
        <v>6</v>
      </c>
      <c r="I9" s="21" t="s">
        <v>42</v>
      </c>
      <c r="J9" s="22" t="s">
        <v>43</v>
      </c>
      <c r="K9" s="17" t="s">
        <v>18</v>
      </c>
    </row>
    <row r="10" spans="2:11" ht="57.75">
      <c r="B10" s="15" t="s">
        <v>44</v>
      </c>
      <c r="C10" s="16" t="s">
        <v>45</v>
      </c>
      <c r="D10" s="17" t="s">
        <v>46</v>
      </c>
      <c r="E10" s="18">
        <v>8</v>
      </c>
      <c r="F10" s="19">
        <v>6</v>
      </c>
      <c r="G10" s="19">
        <f t="shared" si="0"/>
        <v>48</v>
      </c>
      <c r="H10" s="20">
        <v>7</v>
      </c>
      <c r="I10" s="21" t="s">
        <v>47</v>
      </c>
      <c r="J10" s="22" t="s">
        <v>48</v>
      </c>
      <c r="K10" s="17" t="s">
        <v>49</v>
      </c>
    </row>
    <row r="11" spans="2:11" ht="72">
      <c r="B11" s="15" t="s">
        <v>50</v>
      </c>
      <c r="C11" s="16" t="s">
        <v>51</v>
      </c>
      <c r="D11" s="17" t="s">
        <v>21</v>
      </c>
      <c r="E11" s="18">
        <v>4</v>
      </c>
      <c r="F11" s="19">
        <v>9</v>
      </c>
      <c r="G11" s="19">
        <f t="shared" si="0"/>
        <v>36</v>
      </c>
      <c r="H11" s="20">
        <v>8</v>
      </c>
      <c r="I11" s="21" t="s">
        <v>52</v>
      </c>
      <c r="J11" s="22" t="s">
        <v>53</v>
      </c>
      <c r="K11" s="17" t="s">
        <v>24</v>
      </c>
    </row>
    <row r="12" spans="2:11" ht="72">
      <c r="B12" s="15" t="s">
        <v>54</v>
      </c>
      <c r="C12" s="16" t="s">
        <v>55</v>
      </c>
      <c r="D12" s="17" t="s">
        <v>32</v>
      </c>
      <c r="E12" s="18">
        <v>6</v>
      </c>
      <c r="F12" s="19">
        <v>6</v>
      </c>
      <c r="G12" s="19">
        <f t="shared" si="0"/>
        <v>36</v>
      </c>
      <c r="H12" s="20">
        <v>9</v>
      </c>
      <c r="I12" s="21" t="s">
        <v>56</v>
      </c>
      <c r="J12" s="22" t="s">
        <v>57</v>
      </c>
      <c r="K12" s="17" t="s">
        <v>18</v>
      </c>
    </row>
    <row r="13" spans="2:11" ht="72">
      <c r="B13" s="15" t="s">
        <v>58</v>
      </c>
      <c r="C13" s="16" t="s">
        <v>59</v>
      </c>
      <c r="D13" s="17" t="s">
        <v>41</v>
      </c>
      <c r="E13" s="18">
        <v>4</v>
      </c>
      <c r="F13" s="19">
        <v>9</v>
      </c>
      <c r="G13" s="19">
        <f t="shared" si="0"/>
        <v>36</v>
      </c>
      <c r="H13" s="20">
        <v>10</v>
      </c>
      <c r="I13" s="21" t="s">
        <v>60</v>
      </c>
      <c r="J13" s="22" t="s">
        <v>61</v>
      </c>
      <c r="K13" s="17" t="s">
        <v>24</v>
      </c>
    </row>
    <row r="14" spans="2:11" ht="72">
      <c r="B14" s="15" t="s">
        <v>62</v>
      </c>
      <c r="C14" s="16" t="s">
        <v>63</v>
      </c>
      <c r="D14" s="17" t="s">
        <v>21</v>
      </c>
      <c r="E14" s="18">
        <v>6</v>
      </c>
      <c r="F14" s="19">
        <v>6</v>
      </c>
      <c r="G14" s="19">
        <f t="shared" si="0"/>
        <v>36</v>
      </c>
      <c r="H14" s="20">
        <v>11</v>
      </c>
      <c r="I14" s="21" t="s">
        <v>64</v>
      </c>
      <c r="J14" s="22" t="s">
        <v>65</v>
      </c>
      <c r="K14" s="17" t="s">
        <v>24</v>
      </c>
    </row>
    <row r="15" spans="2:11" ht="72">
      <c r="B15" s="15" t="s">
        <v>66</v>
      </c>
      <c r="C15" s="16" t="s">
        <v>67</v>
      </c>
      <c r="D15" s="17" t="s">
        <v>15</v>
      </c>
      <c r="E15" s="18">
        <v>6</v>
      </c>
      <c r="F15" s="19">
        <v>6</v>
      </c>
      <c r="G15" s="19">
        <f t="shared" si="0"/>
        <v>36</v>
      </c>
      <c r="H15" s="20">
        <v>12</v>
      </c>
      <c r="I15" s="21" t="s">
        <v>68</v>
      </c>
      <c r="J15" s="22" t="s">
        <v>69</v>
      </c>
      <c r="K15" s="17" t="s">
        <v>18</v>
      </c>
    </row>
    <row r="16" spans="2:11" ht="86.25">
      <c r="B16" s="15" t="s">
        <v>70</v>
      </c>
      <c r="C16" s="16" t="s">
        <v>71</v>
      </c>
      <c r="D16" s="17" t="s">
        <v>41</v>
      </c>
      <c r="E16" s="18">
        <v>4</v>
      </c>
      <c r="F16" s="19">
        <v>9</v>
      </c>
      <c r="G16" s="19">
        <f t="shared" si="0"/>
        <v>36</v>
      </c>
      <c r="H16" s="20">
        <v>13</v>
      </c>
      <c r="I16" s="21" t="s">
        <v>72</v>
      </c>
      <c r="J16" s="22" t="s">
        <v>73</v>
      </c>
      <c r="K16" s="17" t="s">
        <v>24</v>
      </c>
    </row>
    <row r="17" spans="2:11" ht="72">
      <c r="B17" s="15" t="s">
        <v>74</v>
      </c>
      <c r="C17" s="16" t="s">
        <v>75</v>
      </c>
      <c r="D17" s="17" t="s">
        <v>41</v>
      </c>
      <c r="E17" s="18">
        <v>4</v>
      </c>
      <c r="F17" s="19">
        <v>5</v>
      </c>
      <c r="G17" s="19">
        <f t="shared" si="0"/>
        <v>20</v>
      </c>
      <c r="H17" s="20">
        <v>14</v>
      </c>
      <c r="I17" s="21" t="s">
        <v>76</v>
      </c>
      <c r="J17" s="22" t="s">
        <v>77</v>
      </c>
      <c r="K17" s="17" t="s">
        <v>18</v>
      </c>
    </row>
    <row r="18" spans="2:11" ht="57.75">
      <c r="B18" s="15" t="s">
        <v>78</v>
      </c>
      <c r="C18" s="16" t="s">
        <v>79</v>
      </c>
      <c r="D18" s="17" t="s">
        <v>21</v>
      </c>
      <c r="E18" s="18">
        <v>2</v>
      </c>
      <c r="F18" s="19">
        <v>7</v>
      </c>
      <c r="G18" s="19">
        <f t="shared" si="0"/>
        <v>14</v>
      </c>
      <c r="H18" s="20">
        <v>15</v>
      </c>
      <c r="I18" s="21" t="s">
        <v>80</v>
      </c>
      <c r="J18" s="22" t="s">
        <v>81</v>
      </c>
      <c r="K18" s="17" t="s">
        <v>82</v>
      </c>
    </row>
    <row r="19" spans="2:11" ht="12.75" customHeight="1">
      <c r="C19" s="3"/>
      <c r="D19" s="3"/>
      <c r="I19" s="3"/>
      <c r="J19" s="3"/>
    </row>
    <row r="20" spans="2:11" ht="12.75" customHeight="1">
      <c r="C20" s="4" t="s">
        <v>83</v>
      </c>
      <c r="D20" s="5"/>
      <c r="E20" s="6"/>
      <c r="F20" s="6"/>
      <c r="G20" s="6"/>
      <c r="H20" s="6"/>
      <c r="I20" s="3"/>
    </row>
    <row r="21" spans="2:11" ht="12.75" customHeight="1">
      <c r="C21" s="23" t="s">
        <v>84</v>
      </c>
      <c r="D21" s="23"/>
      <c r="E21" s="23"/>
      <c r="F21" s="23"/>
      <c r="G21" s="23"/>
      <c r="H21" s="23"/>
      <c r="I21" s="3"/>
    </row>
    <row r="22" spans="2:11" ht="12.75" customHeight="1">
      <c r="C22" s="23" t="s">
        <v>85</v>
      </c>
      <c r="D22" s="23"/>
      <c r="E22" s="23"/>
      <c r="F22" s="23"/>
      <c r="G22" s="23"/>
      <c r="H22" s="23"/>
      <c r="I22" s="3"/>
    </row>
    <row r="23" spans="2:11">
      <c r="C23" s="23" t="s">
        <v>86</v>
      </c>
      <c r="D23" s="23"/>
      <c r="E23" s="23"/>
      <c r="F23" s="23"/>
      <c r="G23" s="23"/>
      <c r="H23" s="23"/>
      <c r="I23" s="3"/>
    </row>
    <row r="24" spans="2:11">
      <c r="C24" s="23" t="s">
        <v>87</v>
      </c>
      <c r="D24" s="23"/>
      <c r="E24" s="23"/>
      <c r="F24" s="23"/>
      <c r="G24" s="23"/>
      <c r="H24" s="23"/>
      <c r="I24" s="3"/>
    </row>
    <row r="25" spans="2:11" ht="12.75" customHeight="1">
      <c r="C25" s="23" t="s">
        <v>88</v>
      </c>
      <c r="D25" s="23"/>
      <c r="E25" s="23"/>
      <c r="F25" s="23"/>
      <c r="G25" s="23"/>
      <c r="H25" s="23"/>
      <c r="I25" s="3"/>
    </row>
    <row r="26" spans="2:11">
      <c r="C26" s="7" t="s">
        <v>89</v>
      </c>
      <c r="D26" s="5"/>
      <c r="E26" s="6"/>
      <c r="F26" s="6"/>
      <c r="G26" s="6"/>
      <c r="H26" s="6"/>
      <c r="I26" s="3"/>
    </row>
    <row r="27" spans="2:11">
      <c r="C27" s="24" t="s">
        <v>90</v>
      </c>
      <c r="D27" s="24"/>
      <c r="E27" s="24"/>
      <c r="F27" s="24"/>
      <c r="G27" s="24"/>
      <c r="H27" s="24"/>
      <c r="I27" s="3"/>
    </row>
    <row r="28" spans="2:11">
      <c r="C28" s="23" t="s">
        <v>91</v>
      </c>
      <c r="D28" s="23"/>
      <c r="E28" s="23"/>
      <c r="F28" s="23"/>
      <c r="G28" s="23"/>
      <c r="H28" s="23"/>
      <c r="I28" s="3"/>
    </row>
    <row r="29" spans="2:11">
      <c r="C29" s="7" t="s">
        <v>92</v>
      </c>
      <c r="D29" s="5"/>
      <c r="E29" s="6"/>
      <c r="F29" s="6"/>
      <c r="G29" s="6"/>
      <c r="H29" s="6"/>
      <c r="I29" s="3"/>
    </row>
    <row r="30" spans="2:11">
      <c r="C30" s="6" t="s">
        <v>93</v>
      </c>
      <c r="D30" s="5"/>
      <c r="E30" s="6"/>
      <c r="F30" s="6"/>
      <c r="G30" s="6"/>
      <c r="H30" s="6"/>
      <c r="I30" s="3"/>
    </row>
    <row r="32" spans="2:11">
      <c r="D32" s="3"/>
      <c r="I32" s="3"/>
    </row>
    <row r="33" spans="3:11">
      <c r="D33" s="3"/>
      <c r="I33" s="3"/>
    </row>
    <row r="34" spans="3:11">
      <c r="C34" s="8"/>
      <c r="D34" s="8"/>
      <c r="E34" s="8"/>
      <c r="F34" s="8"/>
      <c r="G34" s="8"/>
      <c r="H34" s="8"/>
      <c r="I34" s="8"/>
      <c r="J34" s="8"/>
      <c r="K34" s="8"/>
    </row>
  </sheetData>
  <mergeCells count="11">
    <mergeCell ref="B1:K1"/>
    <mergeCell ref="C24:H24"/>
    <mergeCell ref="C25:H25"/>
    <mergeCell ref="C27:H27"/>
    <mergeCell ref="C28:H28"/>
    <mergeCell ref="B2:D2"/>
    <mergeCell ref="E2:H2"/>
    <mergeCell ref="I2:K2"/>
    <mergeCell ref="C21:H21"/>
    <mergeCell ref="C22:H22"/>
    <mergeCell ref="C23:H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36E0EEE546D24091A4A99B9AEDE865" ma:contentTypeVersion="11" ma:contentTypeDescription="Create a new document." ma:contentTypeScope="" ma:versionID="fb004d469a511c255d75eb960151ac24">
  <xsd:schema xmlns:xsd="http://www.w3.org/2001/XMLSchema" xmlns:xs="http://www.w3.org/2001/XMLSchema" xmlns:p="http://schemas.microsoft.com/office/2006/metadata/properties" xmlns:ns2="a71bc9e9-55d1-4134-a25d-9d82185d463b" xmlns:ns3="a81ee81f-e383-421a-a6f3-ae358cf4f195" targetNamespace="http://schemas.microsoft.com/office/2006/metadata/properties" ma:root="true" ma:fieldsID="8ed38d3741cfe0917977428c28af7d8a" ns2:_="" ns3:_="">
    <xsd:import namespace="a71bc9e9-55d1-4134-a25d-9d82185d463b"/>
    <xsd:import namespace="a81ee81f-e383-421a-a6f3-ae358cf4f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bc9e9-55d1-4134-a25d-9d82185d4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f8b06a-778d-4447-b55c-f8813fb4c8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ee81f-e383-421a-a6f3-ae358cf4f19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94f82b-9bc7-4b41-94b1-855e21e8fe98}" ma:internalName="TaxCatchAll" ma:showField="CatchAllData" ma:web="a81ee81f-e383-421a-a6f3-ae358cf4f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1bc9e9-55d1-4134-a25d-9d82185d463b">
      <Terms xmlns="http://schemas.microsoft.com/office/infopath/2007/PartnerControls"/>
    </lcf76f155ced4ddcb4097134ff3c332f>
    <TaxCatchAll xmlns="a81ee81f-e383-421a-a6f3-ae358cf4f195" xsi:nil="true"/>
  </documentManagement>
</p:properties>
</file>

<file path=customXml/itemProps1.xml><?xml version="1.0" encoding="utf-8"?>
<ds:datastoreItem xmlns:ds="http://schemas.openxmlformats.org/officeDocument/2006/customXml" ds:itemID="{B1CD6A4E-5032-42A8-A4F2-5C1F80EA698B}"/>
</file>

<file path=customXml/itemProps2.xml><?xml version="1.0" encoding="utf-8"?>
<ds:datastoreItem xmlns:ds="http://schemas.openxmlformats.org/officeDocument/2006/customXml" ds:itemID="{5A04C009-674D-4A9B-9A7A-8056B130E445}"/>
</file>

<file path=customXml/itemProps3.xml><?xml version="1.0" encoding="utf-8"?>
<ds:datastoreItem xmlns:ds="http://schemas.openxmlformats.org/officeDocument/2006/customXml" ds:itemID="{5C250336-D124-4133-A6C5-EABB800E3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Shandrae Lois Quianzon</dc:creator>
  <cp:keywords/>
  <dc:description/>
  <cp:lastModifiedBy/>
  <cp:revision/>
  <dcterms:created xsi:type="dcterms:W3CDTF">2026-04-25T05:54:09Z</dcterms:created>
  <dcterms:modified xsi:type="dcterms:W3CDTF">2026-04-25T06:51:57Z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0x0101001536E0EEE546D24091A4A99B9AEDE865</vt:lpwstr>
  </property>
</Properties>
</file>